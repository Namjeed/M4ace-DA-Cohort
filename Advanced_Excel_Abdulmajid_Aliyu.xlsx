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M4ace-DA-Cohort\"/>
    </mc:Choice>
  </mc:AlternateContent>
  <xr:revisionPtr revIDLastSave="0" documentId="13_ncr:1_{ABAE8314-9EFC-40A7-B82F-588B2EC72728}" xr6:coauthVersionLast="47" xr6:coauthVersionMax="47" xr10:uidLastSave="{00000000-0000-0000-0000-000000000000}"/>
  <bookViews>
    <workbookView xWindow="-96" yWindow="-96" windowWidth="23232" windowHeight="12432" tabRatio="808" firstSheet="2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R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6" l="1" a="1"/>
  <c r="F10" i="6" s="1"/>
  <c r="F9" i="6"/>
  <c r="F8" i="6" a="1"/>
  <c r="F8" i="6" s="1"/>
  <c r="F2" i="6"/>
  <c r="F7" i="6"/>
  <c r="B5" i="4"/>
  <c r="E19" i="9"/>
  <c r="E15" i="9"/>
  <c r="E11" i="9"/>
  <c r="E7" i="9"/>
  <c r="E3" i="9"/>
  <c r="A5" i="10"/>
  <c r="A2" i="10"/>
  <c r="F24" i="8" a="1"/>
  <c r="F24" i="8" s="1"/>
  <c r="F23" i="8"/>
  <c r="C19" i="8"/>
  <c r="C15" i="8"/>
  <c r="D11" i="8"/>
  <c r="C5" i="8"/>
  <c r="C4" i="8"/>
  <c r="C3" i="8"/>
  <c r="A36" i="7"/>
  <c r="A33" i="7"/>
  <c r="A29" i="7"/>
  <c r="A25" i="7"/>
  <c r="A24" i="7"/>
  <c r="A23" i="7"/>
  <c r="A19" i="7"/>
  <c r="A15" i="7"/>
  <c r="A11" i="7"/>
  <c r="A7" i="7"/>
  <c r="A3" i="7"/>
  <c r="F3" i="6" a="1"/>
  <c r="F3" i="6" s="1"/>
  <c r="E12" i="5"/>
  <c r="E11" i="5"/>
  <c r="E10" i="5"/>
  <c r="E7" i="5"/>
  <c r="E6" i="5"/>
  <c r="E5" i="5"/>
  <c r="E4" i="5"/>
  <c r="E3" i="5"/>
  <c r="E2" i="5"/>
  <c r="B9" i="12"/>
  <c r="B5" i="12"/>
  <c r="C5" i="12"/>
  <c r="D5" i="12"/>
  <c r="E5" i="12"/>
  <c r="E3" i="12"/>
  <c r="E4" i="12"/>
  <c r="E2" i="12"/>
  <c r="C4" i="12"/>
  <c r="D4" i="12"/>
  <c r="B4" i="12"/>
  <c r="A3" i="11"/>
  <c r="B4" i="11"/>
  <c r="B3" i="11"/>
  <c r="A2" i="11"/>
  <c r="A1" i="11"/>
  <c r="B4" i="4"/>
  <c r="C5" i="10"/>
  <c r="C2" i="10"/>
  <c r="H19" i="9"/>
  <c r="H15" i="9"/>
  <c r="H11" i="9"/>
  <c r="H7" i="9"/>
  <c r="H3" i="9"/>
  <c r="H24" i="8"/>
  <c r="H23" i="8"/>
  <c r="H19" i="8"/>
  <c r="H15" i="8"/>
  <c r="H11" i="8"/>
  <c r="H5" i="8"/>
  <c r="H4" i="8"/>
  <c r="H3" i="8"/>
  <c r="B36" i="7"/>
  <c r="B33" i="7"/>
  <c r="B29" i="7"/>
  <c r="B25" i="7"/>
  <c r="B24" i="7"/>
  <c r="B23" i="7"/>
  <c r="B19" i="7"/>
  <c r="B15" i="7"/>
  <c r="B11" i="7"/>
  <c r="B7" i="7"/>
  <c r="B3" i="7"/>
  <c r="G10" i="6"/>
  <c r="G9" i="6"/>
  <c r="F10" i="5"/>
  <c r="F3" i="5"/>
  <c r="F4" i="5"/>
  <c r="G8" i="6"/>
  <c r="F6" i="5"/>
  <c r="F12" i="5"/>
  <c r="F2" i="5"/>
  <c r="G2" i="6"/>
  <c r="F11" i="5"/>
  <c r="G7" i="6"/>
  <c r="G3" i="6"/>
  <c r="F5" i="5"/>
  <c r="F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<sst xmlns="http://schemas.openxmlformats.org/spreadsheetml/2006/main" count="156" uniqueCount="78">
  <si>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</si>
  <si>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</si>
  <si>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</si>
  <si>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</si>
  <si>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</si>
  <si>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</si>
  <si>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</si>
  <si>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</si>
  <si>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</si>
  <si>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</si>
  <si>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</si>
  <si>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</si>
  <si>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</si>
  <si>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</si>
  <si>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</si>
  <si>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</si>
  <si>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</si>
  <si>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</si>
  <si>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</si>
  <si>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</si>
  <si>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</si>
  <si>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</si>
  <si>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</si>
  <si>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</si>
  <si>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</si>
  <si>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</si>
  <si>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</si>
  <si>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</si>
  <si>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</si>
  <si>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</si>
  <si>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</si>
  <si>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</si>
  <si>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</si>
  <si>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</si>
  <si>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</si>
  <si>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</si>
  <si>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</si>
  <si>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</si>
  <si>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</si>
  <si>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</si>
  <si>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</si>
  <si>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</si>
  <si>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</si>
  <si>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</si>
  <si>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</si>
  <si>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</si>
  <si>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</si>
  <si>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</si>
  <si>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</si>
  <si>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</si>
  <si>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</si>
  <si>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</si>
  <si>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</si>
  <si>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</si>
  <si>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</si>
  <si>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</si>
  <si>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</si>
  <si>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</si>
  <si>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</si>
  <si>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</si>
  <si>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</si>
  <si>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</si>
  <si>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</si>
  <si>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</si>
  <si>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</si>
  <si>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</si>
  <si>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</si>
  <si>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</si>
  <si>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</si>
  <si>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</si>
  <si>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</si>
  <si>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</si>
  <si>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kevincookiecompany.com</t>
  </si>
  <si>
    <t>HLOOKUP</t>
  </si>
  <si>
    <t>Oatmeal Raisin Price:</t>
  </si>
  <si>
    <t>INDEX</t>
  </si>
  <si>
    <t>Whats is the cost of sugar cookie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</si>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</sst>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E8" sqref="E8"/>
    </sheetView>
  </sheetViews>
  <sheetFormatPr defaultRowHeight="14.4" x14ac:dyDescent="0.55000000000000004"/>
  <cols>
    <col min="1" max="1" width="11.15625" customWidth="1"/>
    <col min="2" max="2" width="17" customWidth="1"/>
    <col min="3" max="3" width="16.83984375" customWidth="1"/>
    <col min="4" max="4" width="12.41796875" bestFit="1" customWidth="1"/>
    <col min="6" max="6" width="2.26171875" customWidth="1"/>
  </cols>
  <sheetData>
    <row r="1" spans="1:7" x14ac:dyDescent="0.55000000000000004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55000000000000004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55000000000000004">
      <c r="A3" s="2" t="s">
        <v>6</v>
      </c>
      <c r="B3">
        <v>4</v>
      </c>
      <c r="C3">
        <v>3</v>
      </c>
      <c r="D3">
        <v>2</v>
      </c>
      <c r="E3">
        <f t="shared" ref="E3:E4" si="0">B3+C3+D3</f>
        <v>9</v>
      </c>
    </row>
    <row r="4" spans="1:7" x14ac:dyDescent="0.55000000000000004">
      <c r="A4" s="2" t="s">
        <v>7</v>
      </c>
      <c r="B4">
        <f>B2-B3</f>
        <v>6</v>
      </c>
      <c r="C4">
        <f t="shared" ref="C4:D4" si="1">C2-C3</f>
        <v>5</v>
      </c>
      <c r="D4">
        <f t="shared" si="1"/>
        <v>3</v>
      </c>
      <c r="E4">
        <f t="shared" si="0"/>
        <v>14</v>
      </c>
    </row>
    <row r="5" spans="1:7" x14ac:dyDescent="0.55000000000000004">
      <c r="A5" s="2" t="s">
        <v>8</v>
      </c>
      <c r="B5">
        <f>B4*TR</f>
        <v>0.60000000000000009</v>
      </c>
      <c r="C5">
        <f>C4*TR</f>
        <v>0.5</v>
      </c>
      <c r="D5">
        <f>D4*TR</f>
        <v>0.30000000000000004</v>
      </c>
      <c r="E5">
        <f>E4*TR</f>
        <v>1.4000000000000001</v>
      </c>
    </row>
    <row r="6" spans="1:7" x14ac:dyDescent="0.55000000000000004">
      <c r="A6" s="2"/>
      <c r="C6" s="1"/>
    </row>
    <row r="7" spans="1:7" x14ac:dyDescent="0.55000000000000004">
      <c r="C7" s="1"/>
    </row>
    <row r="8" spans="1:7" x14ac:dyDescent="0.55000000000000004">
      <c r="C8" s="1"/>
    </row>
    <row r="9" spans="1:7" x14ac:dyDescent="0.55000000000000004">
      <c r="A9" s="2" t="s">
        <v>9</v>
      </c>
      <c r="B9">
        <f>(E4-E5)/3</f>
        <v>4.2</v>
      </c>
      <c r="C9" s="1"/>
      <c r="D9" s="6"/>
    </row>
    <row r="10" spans="1:7" x14ac:dyDescent="0.55000000000000004">
      <c r="C10" s="1"/>
      <c r="D10" s="6"/>
    </row>
    <row r="11" spans="1:7" x14ac:dyDescent="0.55000000000000004">
      <c r="C11" s="1"/>
    </row>
    <row r="12" spans="1:7" x14ac:dyDescent="0.55000000000000004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166" zoomScaleNormal="202" workbookViewId="0">
      <selection activeCell="A2" sqref="A2"/>
    </sheetView>
  </sheetViews>
  <sheetFormatPr defaultRowHeight="14.4" x14ac:dyDescent="0.55000000000000004"/>
  <sheetData>
    <row r="1" spans="1:1" x14ac:dyDescent="0.55000000000000004">
      <c r="A1" s="2" t="s">
        <v>4</v>
      </c>
    </row>
    <row r="2" spans="1:1" x14ac:dyDescent="0.55000000000000004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199" zoomScaleNormal="265" workbookViewId="0">
      <selection activeCell="B6" sqref="B6"/>
    </sheetView>
  </sheetViews>
  <sheetFormatPr defaultRowHeight="14.4" x14ac:dyDescent="0.55000000000000004"/>
  <cols>
    <col min="2" max="2" width="14.41796875" bestFit="1" customWidth="1"/>
  </cols>
  <sheetData>
    <row r="1" spans="1:4" x14ac:dyDescent="0.55000000000000004">
      <c r="B1" s="2" t="s">
        <v>0</v>
      </c>
      <c r="D1" s="2" t="s">
        <v>4</v>
      </c>
    </row>
    <row r="2" spans="1:4" x14ac:dyDescent="0.55000000000000004">
      <c r="A2" s="2" t="s">
        <v>5</v>
      </c>
      <c r="B2">
        <v>10</v>
      </c>
      <c r="D2" s="3">
        <v>0.1</v>
      </c>
    </row>
    <row r="3" spans="1:4" x14ac:dyDescent="0.55000000000000004">
      <c r="A3" s="2" t="s">
        <v>6</v>
      </c>
      <c r="B3">
        <v>4</v>
      </c>
    </row>
    <row r="4" spans="1:4" x14ac:dyDescent="0.55000000000000004">
      <c r="A4" s="2" t="s">
        <v>7</v>
      </c>
      <c r="B4">
        <f>B2-B3</f>
        <v>6</v>
      </c>
    </row>
    <row r="5" spans="1:4" x14ac:dyDescent="0.55000000000000004">
      <c r="A5" s="2" t="s">
        <v>8</v>
      </c>
      <c r="B5">
        <f>B4*D2</f>
        <v>0.60000000000000009</v>
      </c>
    </row>
    <row r="7" spans="1:4" x14ac:dyDescent="0.55000000000000004">
      <c r="A7" s="4" t="s">
        <v>10</v>
      </c>
    </row>
    <row r="8" spans="1:4" x14ac:dyDescent="0.55000000000000004">
      <c r="A8" s="4" t="s">
        <v>11</v>
      </c>
    </row>
    <row r="9" spans="1:4" x14ac:dyDescent="0.55000000000000004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topLeftCell="B7" zoomScale="145" zoomScaleNormal="175" workbookViewId="0">
      <selection activeCell="F14" sqref="F14"/>
    </sheetView>
  </sheetViews>
  <sheetFormatPr defaultRowHeight="14.4" x14ac:dyDescent="0.55000000000000004"/>
  <cols>
    <col min="1" max="1" width="13.68359375" customWidth="1"/>
    <col min="2" max="2" width="12.26171875" bestFit="1" customWidth="1"/>
    <col min="3" max="3" width="3.15625" customWidth="1"/>
    <col min="4" max="4" width="28.26171875" bestFit="1" customWidth="1"/>
    <col min="5" max="5" width="12" bestFit="1" customWidth="1"/>
    <col min="6" max="6" width="14.9453125" bestFit="1" customWidth="1"/>
  </cols>
  <sheetData>
    <row r="1" spans="1:6" x14ac:dyDescent="0.55000000000000004">
      <c r="A1" s="2" t="s">
        <v>13</v>
      </c>
      <c r="B1" s="2" t="s">
        <v>14</v>
      </c>
    </row>
    <row r="2" spans="1:6" x14ac:dyDescent="0.55000000000000004">
      <c r="A2" t="s">
        <v>0</v>
      </c>
      <c r="B2">
        <v>97</v>
      </c>
      <c r="D2" t="s">
        <v>15</v>
      </c>
      <c r="E2">
        <f>SUM(B2:B8)</f>
        <v>421</v>
      </c>
      <c r="F2" t="str">
        <f ca="1">_xlfn.FORMULATEXT(E2)</f>
        <v>=SUM(B2:B8)</v>
      </c>
    </row>
    <row r="3" spans="1:6" x14ac:dyDescent="0.55000000000000004">
      <c r="A3" t="s">
        <v>1</v>
      </c>
      <c r="B3">
        <v>77</v>
      </c>
      <c r="D3" t="s">
        <v>16</v>
      </c>
      <c r="E3">
        <f>MAX(B2:B8)</f>
        <v>97</v>
      </c>
      <c r="F3" t="str">
        <f t="shared" ref="F3:F7" ca="1" si="0">_xlfn.FORMULATEXT(E3)</f>
        <v>=MAX(B2:B8)</v>
      </c>
    </row>
    <row r="4" spans="1:6" x14ac:dyDescent="0.55000000000000004">
      <c r="A4" t="s">
        <v>2</v>
      </c>
      <c r="B4">
        <v>67</v>
      </c>
      <c r="D4" t="s">
        <v>17</v>
      </c>
      <c r="E4">
        <f>MIN(B2:B8)</f>
        <v>36</v>
      </c>
      <c r="F4" t="str">
        <f t="shared" ca="1" si="0"/>
        <v>=MIN(B2:B8)</v>
      </c>
    </row>
    <row r="5" spans="1:6" x14ac:dyDescent="0.55000000000000004">
      <c r="A5" t="s">
        <v>18</v>
      </c>
      <c r="B5">
        <v>52</v>
      </c>
      <c r="D5" t="s">
        <v>19</v>
      </c>
      <c r="E5">
        <f>LARGE(B2:B8,2)</f>
        <v>77</v>
      </c>
      <c r="F5" t="str">
        <f t="shared" ca="1" si="0"/>
        <v>=LARGE(B2:B8,2)</v>
      </c>
    </row>
    <row r="6" spans="1:6" x14ac:dyDescent="0.55000000000000004">
      <c r="A6" t="s">
        <v>20</v>
      </c>
      <c r="B6">
        <v>52</v>
      </c>
      <c r="D6" t="s">
        <v>21</v>
      </c>
      <c r="E6">
        <f>SMALL(B2:B8,2)</f>
        <v>40</v>
      </c>
      <c r="F6" t="str">
        <f t="shared" ca="1" si="0"/>
        <v>=SMALL(B2:B8,2)</v>
      </c>
    </row>
    <row r="7" spans="1:6" x14ac:dyDescent="0.55000000000000004">
      <c r="A7" t="s">
        <v>22</v>
      </c>
      <c r="B7">
        <v>40</v>
      </c>
      <c r="D7" t="s">
        <v>23</v>
      </c>
      <c r="E7">
        <f>COUNTA(B2:B8)</f>
        <v>7</v>
      </c>
      <c r="F7" t="str">
        <f t="shared" ca="1" si="0"/>
        <v>=COUNTA(B2:B8)</v>
      </c>
    </row>
    <row r="8" spans="1:6" x14ac:dyDescent="0.55000000000000004">
      <c r="A8" t="s">
        <v>24</v>
      </c>
      <c r="B8">
        <v>36</v>
      </c>
    </row>
    <row r="10" spans="1:6" x14ac:dyDescent="0.55000000000000004">
      <c r="D10" t="s">
        <v>25</v>
      </c>
      <c r="E10">
        <f>AVERAGE(B2:B8)</f>
        <v>60.142857142857146</v>
      </c>
      <c r="F10" t="str">
        <f ca="1">_xlfn.FORMULATEXT(E10)</f>
        <v>=AVERAGE(B2:B8)</v>
      </c>
    </row>
    <row r="11" spans="1:6" x14ac:dyDescent="0.55000000000000004">
      <c r="D11" t="s">
        <v>26</v>
      </c>
      <c r="E11">
        <f>MEDIAN(B2:B8)</f>
        <v>52</v>
      </c>
      <c r="F11" t="str">
        <f t="shared" ref="F11:F12" ca="1" si="1">_xlfn.FORMULATEXT(E11)</f>
        <v>=MEDIAN(B2:B8)</v>
      </c>
    </row>
    <row r="12" spans="1:6" x14ac:dyDescent="0.55000000000000004">
      <c r="D12" t="s">
        <v>27</v>
      </c>
      <c r="E12">
        <f>MODE(B2:B8)</f>
        <v>52</v>
      </c>
      <c r="F12" t="str">
        <f t="shared" ca="1" si="1"/>
        <v>=MODE(B2:B8)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G22"/>
  <sheetViews>
    <sheetView topLeftCell="A2" zoomScale="130" zoomScaleNormal="130" workbookViewId="0">
      <selection activeCell="F11" sqref="F11"/>
    </sheetView>
  </sheetViews>
  <sheetFormatPr defaultRowHeight="14.4" x14ac:dyDescent="0.55000000000000004"/>
  <cols>
    <col min="1" max="1" width="15.68359375" bestFit="1" customWidth="1"/>
    <col min="2" max="2" width="15.68359375" customWidth="1"/>
    <col min="3" max="3" width="12.26171875" bestFit="1" customWidth="1"/>
    <col min="5" max="5" width="12.41796875" bestFit="1" customWidth="1"/>
    <col min="6" max="6" width="7.5234375" bestFit="1" customWidth="1"/>
    <col min="7" max="7" width="33.89453125" bestFit="1" customWidth="1"/>
  </cols>
  <sheetData>
    <row r="1" spans="1:7" x14ac:dyDescent="0.55000000000000004">
      <c r="A1" s="2" t="s">
        <v>13</v>
      </c>
      <c r="B1" s="2" t="s">
        <v>28</v>
      </c>
      <c r="C1" s="2" t="s">
        <v>14</v>
      </c>
    </row>
    <row r="2" spans="1:7" x14ac:dyDescent="0.55000000000000004">
      <c r="A2" t="s">
        <v>0</v>
      </c>
      <c r="B2" t="s">
        <v>29</v>
      </c>
      <c r="C2">
        <v>28</v>
      </c>
      <c r="E2" t="s">
        <v>30</v>
      </c>
      <c r="F2">
        <f>SUMIF(B2:B22,"India",C2:C22)</f>
        <v>301</v>
      </c>
      <c r="G2" t="str">
        <f ca="1">_xlfn.FORMULATEXT(F2)</f>
        <v>=SUMIF(B2:B22,"India",C2:C22)</v>
      </c>
    </row>
    <row r="3" spans="1:7" x14ac:dyDescent="0.55000000000000004">
      <c r="A3" t="s">
        <v>1</v>
      </c>
      <c r="B3" t="s">
        <v>29</v>
      </c>
      <c r="C3">
        <v>32</v>
      </c>
      <c r="E3" t="s">
        <v>31</v>
      </c>
      <c r="F3" cm="1">
        <f t="array" ref="F3">SUM(SUMIFS(C:C,B:B,B10,A:A,A13:A15))</f>
        <v>133</v>
      </c>
      <c r="G3" t="str">
        <f ca="1">_xlfn.FORMULATEXT(F3)</f>
        <v>=SUM(SUMIFS(C:C,B:B,B10,A:A,A13:A15))</v>
      </c>
    </row>
    <row r="4" spans="1:7" x14ac:dyDescent="0.55000000000000004">
      <c r="A4" t="s">
        <v>2</v>
      </c>
      <c r="B4" t="s">
        <v>29</v>
      </c>
      <c r="C4">
        <v>52</v>
      </c>
    </row>
    <row r="5" spans="1:7" x14ac:dyDescent="0.55000000000000004">
      <c r="A5" t="s">
        <v>18</v>
      </c>
      <c r="B5" t="s">
        <v>29</v>
      </c>
      <c r="C5">
        <v>67</v>
      </c>
    </row>
    <row r="6" spans="1:7" x14ac:dyDescent="0.55000000000000004">
      <c r="A6" t="s">
        <v>20</v>
      </c>
      <c r="B6" t="s">
        <v>29</v>
      </c>
      <c r="C6">
        <v>44</v>
      </c>
    </row>
    <row r="7" spans="1:7" x14ac:dyDescent="0.55000000000000004">
      <c r="A7" t="s">
        <v>22</v>
      </c>
      <c r="B7" t="s">
        <v>29</v>
      </c>
      <c r="C7">
        <v>39</v>
      </c>
      <c r="E7" t="s">
        <v>32</v>
      </c>
      <c r="F7">
        <f>AVERAGEIF(B:B,B16,C:C)</f>
        <v>62.857142857142854</v>
      </c>
      <c r="G7" t="str">
        <f ca="1">_xlfn.FORMULATEXT(F7)</f>
        <v>=AVERAGEIF(B:B,B16,C:C)</v>
      </c>
    </row>
    <row r="8" spans="1:7" x14ac:dyDescent="0.55000000000000004">
      <c r="A8" t="s">
        <v>24</v>
      </c>
      <c r="B8" t="s">
        <v>29</v>
      </c>
      <c r="C8">
        <v>100</v>
      </c>
      <c r="E8" t="s">
        <v>33</v>
      </c>
      <c r="F8" cm="1">
        <f t="array" ref="F8">AVERAGE(AVERAGEIFS(C:C,A:A,A13:A14))</f>
        <v>37.5</v>
      </c>
      <c r="G8" t="str">
        <f t="shared" ref="G8:G12" ca="1" si="0">_xlfn.FORMULATEXT(F8)</f>
        <v>=AVERAGE(AVERAGEIFS(C:C,A:A,A13:A14))</v>
      </c>
    </row>
    <row r="9" spans="1:7" x14ac:dyDescent="0.55000000000000004">
      <c r="A9" t="s">
        <v>0</v>
      </c>
      <c r="B9" t="s">
        <v>34</v>
      </c>
      <c r="C9">
        <v>75</v>
      </c>
      <c r="E9" t="s">
        <v>35</v>
      </c>
      <c r="F9">
        <f>COUNTIF(C:C,"&gt;30")</f>
        <v>17</v>
      </c>
      <c r="G9" t="str">
        <f t="shared" ca="1" si="0"/>
        <v>=COUNTIF(C:C,"&gt;30")</v>
      </c>
    </row>
    <row r="10" spans="1:7" x14ac:dyDescent="0.55000000000000004">
      <c r="A10" t="s">
        <v>1</v>
      </c>
      <c r="B10" t="s">
        <v>34</v>
      </c>
      <c r="C10">
        <v>32</v>
      </c>
      <c r="E10" t="s">
        <v>36</v>
      </c>
      <c r="F10" cm="1">
        <f t="array" ref="F10">SUM(COUNTIFS(B:B,B8:B9,C:C,"&gt;35"))</f>
        <v>9</v>
      </c>
      <c r="G10" t="str">
        <f t="shared" ca="1" si="0"/>
        <v>=SUM(COUNTIFS(B:B,B8:B9,C:C,"&gt;35"))</v>
      </c>
    </row>
    <row r="11" spans="1:7" x14ac:dyDescent="0.55000000000000004">
      <c r="A11" t="s">
        <v>2</v>
      </c>
      <c r="B11" t="s">
        <v>34</v>
      </c>
      <c r="C11">
        <v>40</v>
      </c>
      <c r="E11" t="s">
        <v>37</v>
      </c>
    </row>
    <row r="12" spans="1:7" x14ac:dyDescent="0.55000000000000004">
      <c r="A12" t="s">
        <v>18</v>
      </c>
      <c r="B12" t="s">
        <v>34</v>
      </c>
      <c r="C12">
        <v>21</v>
      </c>
      <c r="E12" t="s">
        <v>38</v>
      </c>
    </row>
    <row r="13" spans="1:7" x14ac:dyDescent="0.55000000000000004">
      <c r="A13" t="s">
        <v>20</v>
      </c>
      <c r="B13" t="s">
        <v>34</v>
      </c>
      <c r="C13">
        <v>58</v>
      </c>
    </row>
    <row r="14" spans="1:7" x14ac:dyDescent="0.55000000000000004">
      <c r="A14" t="s">
        <v>22</v>
      </c>
      <c r="B14" t="s">
        <v>34</v>
      </c>
      <c r="C14">
        <v>21</v>
      </c>
    </row>
    <row r="15" spans="1:7" x14ac:dyDescent="0.55000000000000004">
      <c r="A15" t="s">
        <v>24</v>
      </c>
      <c r="B15" t="s">
        <v>34</v>
      </c>
      <c r="C15">
        <v>54</v>
      </c>
    </row>
    <row r="16" spans="1:7" x14ac:dyDescent="0.55000000000000004">
      <c r="A16" t="s">
        <v>0</v>
      </c>
      <c r="B16" t="s">
        <v>39</v>
      </c>
      <c r="C16">
        <v>55</v>
      </c>
    </row>
    <row r="17" spans="1:3" x14ac:dyDescent="0.55000000000000004">
      <c r="A17" t="s">
        <v>1</v>
      </c>
      <c r="B17" t="s">
        <v>39</v>
      </c>
      <c r="C17">
        <v>41</v>
      </c>
    </row>
    <row r="18" spans="1:3" x14ac:dyDescent="0.55000000000000004">
      <c r="A18" t="s">
        <v>2</v>
      </c>
      <c r="B18" t="s">
        <v>39</v>
      </c>
      <c r="C18">
        <v>92</v>
      </c>
    </row>
    <row r="19" spans="1:3" x14ac:dyDescent="0.55000000000000004">
      <c r="A19" t="s">
        <v>18</v>
      </c>
      <c r="B19" t="s">
        <v>39</v>
      </c>
      <c r="C19">
        <v>89</v>
      </c>
    </row>
    <row r="20" spans="1:3" x14ac:dyDescent="0.55000000000000004">
      <c r="A20" t="s">
        <v>20</v>
      </c>
      <c r="B20" t="s">
        <v>39</v>
      </c>
      <c r="C20">
        <v>34</v>
      </c>
    </row>
    <row r="21" spans="1:3" x14ac:dyDescent="0.55000000000000004">
      <c r="A21" t="s">
        <v>22</v>
      </c>
      <c r="B21" t="s">
        <v>39</v>
      </c>
      <c r="C21">
        <v>29</v>
      </c>
    </row>
    <row r="22" spans="1:3" x14ac:dyDescent="0.55000000000000004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6"/>
  <sheetViews>
    <sheetView topLeftCell="A22" zoomScale="155" zoomScaleNormal="190" workbookViewId="0">
      <selection activeCell="B36" sqref="B36"/>
    </sheetView>
  </sheetViews>
  <sheetFormatPr defaultRowHeight="14.4" x14ac:dyDescent="0.55000000000000004"/>
  <cols>
    <col min="1" max="1" width="42.9453125" bestFit="1" customWidth="1"/>
    <col min="2" max="2" width="24.7890625" bestFit="1" customWidth="1"/>
  </cols>
  <sheetData>
    <row r="1" spans="1:3" x14ac:dyDescent="0.55000000000000004">
      <c r="A1" s="2" t="s">
        <v>40</v>
      </c>
    </row>
    <row r="2" spans="1:3" x14ac:dyDescent="0.55000000000000004">
      <c r="A2" t="s">
        <v>41</v>
      </c>
    </row>
    <row r="3" spans="1:3" x14ac:dyDescent="0.55000000000000004">
      <c r="A3" t="str">
        <f>PROPER(A2)</f>
        <v>Kevin Cookie Company</v>
      </c>
      <c r="B3" t="str">
        <f ca="1">_xlfn.FORMULATEXT(A3)</f>
        <v>=PROPER(A2)</v>
      </c>
    </row>
    <row r="5" spans="1:3" x14ac:dyDescent="0.55000000000000004">
      <c r="A5" s="2" t="s">
        <v>42</v>
      </c>
    </row>
    <row r="6" spans="1:3" x14ac:dyDescent="0.55000000000000004">
      <c r="A6" t="s">
        <v>43</v>
      </c>
    </row>
    <row r="7" spans="1:3" x14ac:dyDescent="0.55000000000000004">
      <c r="A7" t="str">
        <f>TRIM(A6)</f>
        <v>Kevin Cookie Company</v>
      </c>
      <c r="B7" t="str">
        <f ca="1">_xlfn.FORMULATEXT(A7)</f>
        <v>=TRIM(A6)</v>
      </c>
    </row>
    <row r="9" spans="1:3" x14ac:dyDescent="0.55000000000000004">
      <c r="A9" s="2" t="s">
        <v>44</v>
      </c>
    </row>
    <row r="10" spans="1:3" x14ac:dyDescent="0.55000000000000004">
      <c r="A10" t="s">
        <v>45</v>
      </c>
      <c r="B10" t="s">
        <v>46</v>
      </c>
      <c r="C10" t="s">
        <v>47</v>
      </c>
    </row>
    <row r="11" spans="1:3" x14ac:dyDescent="0.55000000000000004">
      <c r="A11" t="str">
        <f>_xlfn.CONCAT(A10," ",B10," ",C10)</f>
        <v>Kevin Cookie Company</v>
      </c>
      <c r="B11" t="str">
        <f ca="1">_xlfn.FORMULATEXT(A11)</f>
        <v>=CONCAT(A10," ",B10," ",C10)</v>
      </c>
    </row>
    <row r="13" spans="1:3" x14ac:dyDescent="0.55000000000000004">
      <c r="A13" s="2" t="s">
        <v>48</v>
      </c>
    </row>
    <row r="14" spans="1:3" x14ac:dyDescent="0.55000000000000004">
      <c r="A14" t="s">
        <v>45</v>
      </c>
      <c r="B14" t="s">
        <v>46</v>
      </c>
      <c r="C14" t="s">
        <v>47</v>
      </c>
    </row>
    <row r="15" spans="1:3" x14ac:dyDescent="0.55000000000000004">
      <c r="A15" t="str">
        <f>A14&amp;" "&amp;B14&amp;" "&amp;C14</f>
        <v>Kevin Cookie Company</v>
      </c>
      <c r="B15" t="str">
        <f ca="1">_xlfn.FORMULATEXT(A15)</f>
        <v>=A14&amp;" "&amp;B14&amp;" "&amp;C14</v>
      </c>
    </row>
    <row r="17" spans="1:3" x14ac:dyDescent="0.55000000000000004">
      <c r="A17" s="2" t="s">
        <v>49</v>
      </c>
    </row>
    <row r="18" spans="1:3" x14ac:dyDescent="0.55000000000000004">
      <c r="A18" t="s">
        <v>45</v>
      </c>
      <c r="B18" t="s">
        <v>46</v>
      </c>
      <c r="C18" t="s">
        <v>47</v>
      </c>
    </row>
    <row r="19" spans="1:3" x14ac:dyDescent="0.55000000000000004">
      <c r="A19" t="str">
        <f>_xlfn.TEXTJOIN(" ",TRUE,A18:C18)</f>
        <v>Kevin Cookie Company</v>
      </c>
      <c r="B19" t="str">
        <f ca="1">_xlfn.FORMULATEXT(A19)</f>
        <v>=TEXTJOIN(" ",TRUE,A18:C18)</v>
      </c>
    </row>
    <row r="21" spans="1:3" x14ac:dyDescent="0.55000000000000004">
      <c r="A21" s="2" t="s">
        <v>50</v>
      </c>
    </row>
    <row r="22" spans="1:3" x14ac:dyDescent="0.55000000000000004">
      <c r="A22" t="s">
        <v>51</v>
      </c>
    </row>
    <row r="23" spans="1:3" x14ac:dyDescent="0.55000000000000004">
      <c r="A23" t="str">
        <f>RIGHT(A22,5)</f>
        <v>05486</v>
      </c>
      <c r="B23" t="str">
        <f ca="1">_xlfn.FORMULATEXT(A23)</f>
        <v>=RIGHT(A22,5)</v>
      </c>
    </row>
    <row r="24" spans="1:3" x14ac:dyDescent="0.55000000000000004">
      <c r="A24" t="str">
        <f>LEFT(A22,8)</f>
        <v>123 Main</v>
      </c>
      <c r="B24" t="str">
        <f ca="1">_xlfn.FORMULATEXT(A24)</f>
        <v>=LEFT(A22,8)</v>
      </c>
    </row>
    <row r="25" spans="1:3" x14ac:dyDescent="0.55000000000000004">
      <c r="A25" t="str">
        <f>MID(A22,10,6)</f>
        <v>Street</v>
      </c>
      <c r="B25" t="str">
        <f ca="1">_xlfn.FORMULATEXT(A25)</f>
        <v>=MID(A22,10,6)</v>
      </c>
    </row>
    <row r="27" spans="1:3" x14ac:dyDescent="0.55000000000000004">
      <c r="A27" s="2" t="s">
        <v>52</v>
      </c>
    </row>
    <row r="28" spans="1:3" x14ac:dyDescent="0.55000000000000004">
      <c r="A28" t="s">
        <v>53</v>
      </c>
    </row>
    <row r="29" spans="1:3" x14ac:dyDescent="0.55000000000000004">
      <c r="A29">
        <f>LEN(A28)</f>
        <v>20</v>
      </c>
      <c r="B29" t="str">
        <f ca="1">_xlfn.FORMULATEXT(A29)</f>
        <v>=LEN(A28)</v>
      </c>
    </row>
    <row r="31" spans="1:3" x14ac:dyDescent="0.55000000000000004">
      <c r="A31" s="2" t="s">
        <v>54</v>
      </c>
    </row>
    <row r="32" spans="1:3" x14ac:dyDescent="0.55000000000000004">
      <c r="A32" s="5" t="s">
        <v>72</v>
      </c>
    </row>
    <row r="33" spans="1:2" x14ac:dyDescent="0.55000000000000004">
      <c r="A33">
        <f>FIND("k",A32)</f>
        <v>1</v>
      </c>
      <c r="B33" t="str">
        <f ca="1">_xlfn.FORMULATEXT(A33)</f>
        <v>=FIND("k",A32)</v>
      </c>
    </row>
    <row r="35" spans="1:2" x14ac:dyDescent="0.55000000000000004">
      <c r="A35" s="2" t="s">
        <v>55</v>
      </c>
    </row>
    <row r="36" spans="1:2" x14ac:dyDescent="0.55000000000000004">
      <c r="A36" t="str">
        <f>LEFT(A32,FIND("p",A32)-4)</f>
        <v>kevincookie</v>
      </c>
      <c r="B36" t="str">
        <f ca="1">_xlfn.FORMULATEXT(A36)</f>
        <v>=LEFT(A32,FIND("p",A32)-4)</v>
      </c>
    </row>
  </sheetData>
  <hyperlinks>
    <hyperlink ref="A32" r:id="rId1" display="sue@kevincookiecompany.com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H24"/>
  <sheetViews>
    <sheetView topLeftCell="A10" zoomScale="124" zoomScaleNormal="145" workbookViewId="0">
      <selection activeCell="H24" sqref="H24"/>
    </sheetView>
  </sheetViews>
  <sheetFormatPr defaultRowHeight="14.4" x14ac:dyDescent="0.55000000000000004"/>
  <cols>
    <col min="1" max="1" width="21.68359375" bestFit="1" customWidth="1"/>
    <col min="2" max="2" width="16.41796875" customWidth="1"/>
    <col min="8" max="8" width="48.3125" bestFit="1" customWidth="1"/>
  </cols>
  <sheetData>
    <row r="1" spans="1:8" x14ac:dyDescent="0.55000000000000004">
      <c r="A1" s="2" t="s">
        <v>56</v>
      </c>
    </row>
    <row r="2" spans="1:8" x14ac:dyDescent="0.55000000000000004">
      <c r="A2" t="s">
        <v>53</v>
      </c>
      <c r="B2" t="s">
        <v>57</v>
      </c>
    </row>
    <row r="3" spans="1:8" x14ac:dyDescent="0.55000000000000004">
      <c r="A3">
        <v>10</v>
      </c>
      <c r="B3">
        <v>5</v>
      </c>
      <c r="C3" t="b">
        <f>A3&lt;B3</f>
        <v>0</v>
      </c>
      <c r="H3" t="str">
        <f ca="1">_xlfn.FORMULATEXT(C3)</f>
        <v>=A3&lt;B3</v>
      </c>
    </row>
    <row r="4" spans="1:8" x14ac:dyDescent="0.55000000000000004">
      <c r="B4">
        <v>11</v>
      </c>
      <c r="C4" t="b">
        <f>B4&gt;A3</f>
        <v>1</v>
      </c>
      <c r="H4" t="str">
        <f t="shared" ref="H4:H5" ca="1" si="0">_xlfn.FORMULATEXT(C4)</f>
        <v>=B4&gt;A3</v>
      </c>
    </row>
    <row r="5" spans="1:8" x14ac:dyDescent="0.55000000000000004">
      <c r="C5" t="b">
        <f>B4&lt;=B3</f>
        <v>0</v>
      </c>
      <c r="H5" t="str">
        <f t="shared" ca="1" si="0"/>
        <v>=B4&lt;=B3</v>
      </c>
    </row>
    <row r="8" spans="1:8" x14ac:dyDescent="0.55000000000000004">
      <c r="A8" s="2"/>
    </row>
    <row r="9" spans="1:8" x14ac:dyDescent="0.55000000000000004">
      <c r="A9" s="2" t="s">
        <v>13</v>
      </c>
      <c r="B9" s="2" t="s">
        <v>14</v>
      </c>
      <c r="C9" s="2" t="s">
        <v>58</v>
      </c>
    </row>
    <row r="10" spans="1:8" x14ac:dyDescent="0.55000000000000004">
      <c r="A10" t="s">
        <v>0</v>
      </c>
      <c r="B10">
        <v>97</v>
      </c>
      <c r="C10" t="s">
        <v>59</v>
      </c>
    </row>
    <row r="11" spans="1:8" x14ac:dyDescent="0.55000000000000004">
      <c r="A11" t="s">
        <v>1</v>
      </c>
      <c r="B11">
        <v>96</v>
      </c>
      <c r="D11" t="str">
        <f>IF(B10&gt;B11,A10,A11)</f>
        <v>Chocolate Chip</v>
      </c>
      <c r="H11" t="str">
        <f ca="1">_xlfn.FORMULATEXT(D11)</f>
        <v>=IF(B10&gt;B11,A10,A11)</v>
      </c>
    </row>
    <row r="12" spans="1:8" x14ac:dyDescent="0.55000000000000004">
      <c r="A12" t="s">
        <v>2</v>
      </c>
      <c r="B12">
        <v>150</v>
      </c>
    </row>
    <row r="13" spans="1:8" x14ac:dyDescent="0.55000000000000004">
      <c r="C13" s="2" t="s">
        <v>60</v>
      </c>
    </row>
    <row r="14" spans="1:8" x14ac:dyDescent="0.55000000000000004">
      <c r="C14" t="s">
        <v>61</v>
      </c>
    </row>
    <row r="15" spans="1:8" x14ac:dyDescent="0.55000000000000004">
      <c r="C15" t="b">
        <f>AND(B10&gt;B11,B10&gt;B12)</f>
        <v>0</v>
      </c>
      <c r="H15" t="str">
        <f ca="1">_xlfn.FORMULATEXT(C15)</f>
        <v>=AND(B10&gt;B11,B10&gt;B12)</v>
      </c>
    </row>
    <row r="17" spans="1:8" x14ac:dyDescent="0.55000000000000004">
      <c r="C17" s="2" t="s">
        <v>62</v>
      </c>
    </row>
    <row r="18" spans="1:8" x14ac:dyDescent="0.55000000000000004">
      <c r="C18" t="s">
        <v>63</v>
      </c>
    </row>
    <row r="19" spans="1:8" x14ac:dyDescent="0.55000000000000004">
      <c r="C19" t="b">
        <f>OR(B10&gt;B11,B10&gt;B12)</f>
        <v>1</v>
      </c>
      <c r="H19" t="str">
        <f ca="1">_xlfn.FORMULATEXT(C19)</f>
        <v>=OR(B10&gt;B11,B10&gt;B12)</v>
      </c>
    </row>
    <row r="21" spans="1:8" x14ac:dyDescent="0.55000000000000004">
      <c r="A21" s="2" t="s">
        <v>64</v>
      </c>
      <c r="B21" s="2" t="s">
        <v>65</v>
      </c>
      <c r="C21" s="2" t="s">
        <v>66</v>
      </c>
    </row>
    <row r="22" spans="1:8" x14ac:dyDescent="0.55000000000000004">
      <c r="A22" t="s">
        <v>0</v>
      </c>
      <c r="B22">
        <v>10</v>
      </c>
      <c r="C22" t="s">
        <v>67</v>
      </c>
      <c r="E22" s="2" t="s">
        <v>2</v>
      </c>
    </row>
    <row r="23" spans="1:8" x14ac:dyDescent="0.55000000000000004">
      <c r="A23" t="s">
        <v>1</v>
      </c>
      <c r="B23">
        <v>8</v>
      </c>
      <c r="F23">
        <f>IF(E22=A22,B22,IF(E22=A23,B23,IF(E22=A24,B24,"Error")))</f>
        <v>5</v>
      </c>
      <c r="H23" t="str">
        <f ca="1">_xlfn.FORMULATEXT(F23)</f>
        <v>=IF(E22=A22,B22,IF(E22=A23,B23,IF(E22=A24,B24,"Error")))</v>
      </c>
    </row>
    <row r="24" spans="1:8" x14ac:dyDescent="0.55000000000000004">
      <c r="A24" t="s">
        <v>2</v>
      </c>
      <c r="B24">
        <v>5</v>
      </c>
      <c r="F24" cm="1">
        <f t="array" ref="F24">_xlfn.IFS(E22=A22,B22,E22=A23,B23,E22=A24,B24)</f>
        <v>5</v>
      </c>
      <c r="H24" t="str">
        <f ca="1">_xlfn.FORMULATEXT(F24)</f>
        <v>=IFS(E22=A22,B22,E22=A23,B23,E22=A24,B24)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H19"/>
  <sheetViews>
    <sheetView topLeftCell="B1" zoomScale="145" zoomScaleNormal="145" workbookViewId="0">
      <selection activeCell="H19" sqref="H19"/>
    </sheetView>
  </sheetViews>
  <sheetFormatPr defaultRowHeight="14.4" x14ac:dyDescent="0.55000000000000004"/>
  <cols>
    <col min="1" max="1" width="14.41796875" bestFit="1" customWidth="1"/>
    <col min="3" max="3" width="11.578125" customWidth="1"/>
    <col min="4" max="4" width="3.578125" customWidth="1"/>
    <col min="5" max="5" width="19" bestFit="1" customWidth="1"/>
    <col min="8" max="8" width="25.15625" bestFit="1" customWidth="1"/>
  </cols>
  <sheetData>
    <row r="1" spans="1:8" x14ac:dyDescent="0.55000000000000004">
      <c r="A1" s="2" t="s">
        <v>64</v>
      </c>
      <c r="B1" s="2" t="s">
        <v>65</v>
      </c>
      <c r="C1" s="2" t="s">
        <v>6</v>
      </c>
      <c r="D1" s="2"/>
      <c r="E1" s="2" t="s">
        <v>68</v>
      </c>
    </row>
    <row r="2" spans="1:8" x14ac:dyDescent="0.55000000000000004">
      <c r="A2" t="s">
        <v>0</v>
      </c>
      <c r="B2">
        <v>10</v>
      </c>
      <c r="C2">
        <v>4</v>
      </c>
      <c r="E2" t="s">
        <v>67</v>
      </c>
      <c r="F2" t="s">
        <v>2</v>
      </c>
    </row>
    <row r="3" spans="1:8" x14ac:dyDescent="0.55000000000000004">
      <c r="A3" t="s">
        <v>1</v>
      </c>
      <c r="B3">
        <v>8</v>
      </c>
      <c r="C3">
        <v>3</v>
      </c>
      <c r="E3">
        <f>VLOOKUP(F2,A1:C4,2)</f>
        <v>5</v>
      </c>
      <c r="H3" t="str">
        <f ca="1">_xlfn.FORMULATEXT(E3)</f>
        <v>=VLOOKUP(F2,A1:C4,2)</v>
      </c>
    </row>
    <row r="4" spans="1:8" x14ac:dyDescent="0.55000000000000004">
      <c r="A4" t="s">
        <v>2</v>
      </c>
      <c r="B4">
        <v>5</v>
      </c>
      <c r="C4">
        <v>2</v>
      </c>
    </row>
    <row r="5" spans="1:8" x14ac:dyDescent="0.55000000000000004">
      <c r="E5" s="2" t="s">
        <v>69</v>
      </c>
    </row>
    <row r="6" spans="1:8" x14ac:dyDescent="0.55000000000000004">
      <c r="E6" t="s">
        <v>67</v>
      </c>
      <c r="F6" t="s">
        <v>0</v>
      </c>
    </row>
    <row r="7" spans="1:8" x14ac:dyDescent="0.55000000000000004">
      <c r="E7">
        <f>_xlfn.XLOOKUP(F6,A1:A4,B1:B4,)</f>
        <v>10</v>
      </c>
      <c r="H7" t="str">
        <f ca="1">_xlfn.FORMULATEXT(E7)</f>
        <v>=XLOOKUP(F6,A1:A4,B1:B4,)</v>
      </c>
    </row>
    <row r="9" spans="1:8" x14ac:dyDescent="0.55000000000000004">
      <c r="E9" s="2" t="s">
        <v>73</v>
      </c>
    </row>
    <row r="10" spans="1:8" x14ac:dyDescent="0.55000000000000004">
      <c r="E10" t="s">
        <v>74</v>
      </c>
      <c r="F10" t="s">
        <v>65</v>
      </c>
    </row>
    <row r="11" spans="1:8" x14ac:dyDescent="0.55000000000000004">
      <c r="E11">
        <f>HLOOKUP(F10,A1:C4,3,)</f>
        <v>8</v>
      </c>
      <c r="H11" t="str">
        <f ca="1">_xlfn.FORMULATEXT(E11)</f>
        <v>=HLOOKUP(F10,A1:C4,3,)</v>
      </c>
    </row>
    <row r="13" spans="1:8" x14ac:dyDescent="0.55000000000000004">
      <c r="E13" s="2" t="s">
        <v>75</v>
      </c>
    </row>
    <row r="14" spans="1:8" x14ac:dyDescent="0.55000000000000004">
      <c r="E14" t="s">
        <v>76</v>
      </c>
    </row>
    <row r="15" spans="1:8" x14ac:dyDescent="0.55000000000000004">
      <c r="E15">
        <f>INDEX(A1:C4,4,3)</f>
        <v>2</v>
      </c>
      <c r="H15" t="str">
        <f ca="1">_xlfn.FORMULATEXT(E15)</f>
        <v>=INDEX(A1:C4,4,3)</v>
      </c>
    </row>
    <row r="17" spans="5:8" x14ac:dyDescent="0.55000000000000004">
      <c r="E17" s="2" t="s">
        <v>77</v>
      </c>
    </row>
    <row r="19" spans="5:8" x14ac:dyDescent="0.55000000000000004">
      <c r="E19">
        <f>MATCH(MAX(B2:B4),B2:B4,0)</f>
        <v>1</v>
      </c>
      <c r="H19" t="str">
        <f ca="1">_xlfn.FORMULATEXT(E19)</f>
        <v>=MATCH(MAX(B2:B4),B2:B4,0)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C5"/>
  <sheetViews>
    <sheetView zoomScale="235" zoomScaleNormal="250" workbookViewId="0">
      <selection activeCell="C5" sqref="C5"/>
    </sheetView>
  </sheetViews>
  <sheetFormatPr defaultRowHeight="14.4" x14ac:dyDescent="0.55000000000000004"/>
  <cols>
    <col min="1" max="1" width="15.41796875" bestFit="1" customWidth="1"/>
  </cols>
  <sheetData>
    <row r="1" spans="1:3" x14ac:dyDescent="0.55000000000000004">
      <c r="A1" s="2" t="s">
        <v>70</v>
      </c>
    </row>
    <row r="2" spans="1:3" x14ac:dyDescent="0.55000000000000004">
      <c r="A2" s="6">
        <f ca="1">TODAY()</f>
        <v>46089</v>
      </c>
      <c r="C2" t="str">
        <f ca="1">_xlfn.FORMULATEXT(A2)</f>
        <v>=TODAY()</v>
      </c>
    </row>
    <row r="4" spans="1:3" x14ac:dyDescent="0.55000000000000004">
      <c r="A4" s="2" t="s">
        <v>71</v>
      </c>
    </row>
    <row r="5" spans="1:3" x14ac:dyDescent="0.55000000000000004">
      <c r="A5" s="7">
        <f ca="1">NOW()</f>
        <v>46089.896314467594</v>
      </c>
      <c r="C5" t="str">
        <f ca="1">_xlfn.FORMULATEXT(A5)</f>
        <v>=NOW()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tabSelected="1" zoomScale="325" zoomScaleNormal="325" workbookViewId="0">
      <selection activeCell="A3" sqref="A3"/>
    </sheetView>
  </sheetViews>
  <sheetFormatPr defaultRowHeight="14.4" x14ac:dyDescent="0.55000000000000004"/>
  <sheetData>
    <row r="1" spans="1:2" x14ac:dyDescent="0.55000000000000004">
      <c r="A1">
        <f>5+4</f>
        <v>9</v>
      </c>
      <c r="B1">
        <v>1</v>
      </c>
    </row>
    <row r="2" spans="1:2" x14ac:dyDescent="0.55000000000000004">
      <c r="A2">
        <f>8-2</f>
        <v>6</v>
      </c>
      <c r="B2">
        <v>3</v>
      </c>
    </row>
    <row r="3" spans="1:2" x14ac:dyDescent="0.55000000000000004">
      <c r="A3">
        <f>A2+B2</f>
        <v>9</v>
      </c>
      <c r="B3">
        <f>4+2</f>
        <v>6</v>
      </c>
    </row>
    <row r="4" spans="1:2" x14ac:dyDescent="0.55000000000000004">
      <c r="A4">
        <v>3</v>
      </c>
      <c r="B4">
        <f>B3+A3</f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1CB16-2C5F-4B06-A0EE-57C830ADD71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Abdulmajid Aliyu</cp:lastModifiedBy>
  <cp:revision/>
  <dcterms:created xsi:type="dcterms:W3CDTF">2022-05-10T22:30:35Z</dcterms:created>
  <dcterms:modified xsi:type="dcterms:W3CDTF">2026-03-08T20:30:54Z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{C501CB16-2C5F-4B06-A0EE-57C830ADD71D}</vt:lpwstr>
  </property>
</Properties>
</file>